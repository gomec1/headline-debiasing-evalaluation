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ernerfachhochschule-my.sharepoint.com/personal/gomec1_bfh_ch/Documents/001_BT/Analyse/"/>
    </mc:Choice>
  </mc:AlternateContent>
  <xr:revisionPtr revIDLastSave="4" documentId="13_ncr:1_{C06CEDAB-AE1F-432A-AAFE-C009E5499884}" xr6:coauthVersionLast="47" xr6:coauthVersionMax="47" xr10:uidLastSave="{DE3744F6-8FE0-46EE-86AD-48BEE0099BD4}"/>
  <bookViews>
    <workbookView xWindow="-120" yWindow="-120" windowWidth="29040" windowHeight="15720" xr2:uid="{00000000-000D-0000-FFFF-FFFF00000000}"/>
  </bookViews>
  <sheets>
    <sheet name="Ground Truth Annotation" sheetId="1" r:id="rId1"/>
    <sheet name="Scoring Guide" sheetId="2" r:id="rId2"/>
  </sheets>
  <definedNames>
    <definedName name="_xlnm._FilterDatabase" localSheetId="0" hidden="1">'Ground Truth Annotation'!$A$2:$I$2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H52" i="1" s="1"/>
  <c r="G51" i="1"/>
  <c r="H51" i="1" s="1"/>
  <c r="G50" i="1"/>
  <c r="H50" i="1" s="1"/>
  <c r="G49" i="1"/>
  <c r="H49" i="1" s="1"/>
  <c r="H48" i="1"/>
  <c r="G48" i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H41" i="1"/>
  <c r="G41" i="1"/>
  <c r="G40" i="1"/>
  <c r="H40" i="1" s="1"/>
  <c r="H39" i="1"/>
  <c r="G39" i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H30" i="1"/>
  <c r="G30" i="1"/>
  <c r="G29" i="1"/>
  <c r="H29" i="1" s="1"/>
  <c r="H28" i="1"/>
  <c r="G28" i="1"/>
  <c r="G27" i="1"/>
  <c r="H27" i="1" s="1"/>
  <c r="H26" i="1"/>
  <c r="G26" i="1"/>
  <c r="G25" i="1"/>
  <c r="H25" i="1" s="1"/>
  <c r="G24" i="1"/>
  <c r="H24" i="1" s="1"/>
  <c r="G23" i="1"/>
  <c r="H23" i="1" s="1"/>
  <c r="H22" i="1"/>
  <c r="G22" i="1"/>
  <c r="G21" i="1"/>
  <c r="H21" i="1" s="1"/>
  <c r="G20" i="1"/>
  <c r="H20" i="1" s="1"/>
  <c r="H19" i="1"/>
  <c r="G19" i="1"/>
  <c r="G18" i="1"/>
  <c r="H18" i="1" s="1"/>
  <c r="H17" i="1"/>
  <c r="G17" i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H8" i="1"/>
  <c r="G8" i="1"/>
  <c r="G7" i="1"/>
  <c r="H7" i="1" s="1"/>
  <c r="H6" i="1"/>
  <c r="G6" i="1"/>
  <c r="G5" i="1"/>
  <c r="H5" i="1" s="1"/>
  <c r="G4" i="1"/>
  <c r="H4" i="1" s="1"/>
  <c r="G3" i="1"/>
  <c r="H3" i="1" s="1"/>
</calcChain>
</file>

<file path=xl/sharedStrings.xml><?xml version="1.0" encoding="utf-8"?>
<sst xmlns="http://schemas.openxmlformats.org/spreadsheetml/2006/main" count="134" uniqueCount="134">
  <si>
    <t>HEADLINE INFO</t>
  </si>
  <si>
    <t>BIAS DIMENSIONS  (0 = neutral · 1 = slight · 2 = moderate · 3 = strong)</t>
  </si>
  <si>
    <t>RESULT</t>
  </si>
  <si>
    <t>NOTES</t>
  </si>
  <si>
    <t>#</t>
  </si>
  <si>
    <t>Headline</t>
  </si>
  <si>
    <t>D1 · Framing
(einseitige Darstellung)</t>
  </si>
  <si>
    <t>D2 · Intensifier
(subjektive Verstärker)</t>
  </si>
  <si>
    <t>D3 · Verb
(factive / assertive)</t>
  </si>
  <si>
    <t>D4 · Labeling
(wertende Bezeichnungen)</t>
  </si>
  <si>
    <t>BiasScore
(0–12)</t>
  </si>
  <si>
    <t>Kategorie
(low/mid/high)</t>
  </si>
  <si>
    <t>Begründung / Auffälligkeiten</t>
  </si>
  <si>
    <t>How to turn an opioid lawsuit settlement into a tax deduction</t>
  </si>
  <si>
    <t>tax angle komisch bisschen</t>
  </si>
  <si>
    <t>Former New Zealand leader Jacinda Ardern is heading to Harvard</t>
  </si>
  <si>
    <t>The Democratic brand is broken. The infrastructure bill isn't fixing it.</t>
  </si>
  <si>
    <t>broken / fixing it als fakt, recht klar wertend</t>
  </si>
  <si>
    <t>Biden Has Landed on His Justification for Staying in the Race</t>
  </si>
  <si>
    <t>justification klingt nach ausrede, biden framing</t>
  </si>
  <si>
    <t>The Lie That Will Not Lie Down</t>
  </si>
  <si>
    <t>lie direkt gesetzt, sehr dramatisch</t>
  </si>
  <si>
    <t>Olympic Athletes, Coaches Testing Positive For COVID At Much Higher Rate</t>
  </si>
  <si>
    <t>much higher rate = leicht aufgeblasen</t>
  </si>
  <si>
    <t>Border dispute heats up: What's behind the clash between Thailand and Cambodia</t>
  </si>
  <si>
    <t>heats up clash bisschen drama</t>
  </si>
  <si>
    <t>Allyson Watterson's parents plead for answers in mysterious disappearance</t>
  </si>
  <si>
    <t>mysterious + plead emotionaler ton</t>
  </si>
  <si>
    <t>U.S. Asylum Ban Has Not Deterred Honduran Women</t>
  </si>
  <si>
    <t>ban wirkt als label, deterrence framing</t>
  </si>
  <si>
    <t>'Imagine how you would use teleportation': Drone delivery unicorn Zipline's CEO on plans for $250 million funding</t>
  </si>
  <si>
    <t>Dozens arrested in weekend of protests on U.S. campuses</t>
  </si>
  <si>
    <t>Myanmar's largest Rohingya town set ablaze by rebel group</t>
  </si>
  <si>
    <t>rebel group label, sonst ok</t>
  </si>
  <si>
    <t>The Beauty of Billionaires in Space</t>
  </si>
  <si>
    <t>ironisch. billionaires in space eher spöttisch</t>
  </si>
  <si>
    <t>FAA issues more than $60,000 in fines for 'unruly' passengers, including disobedience of mask mandate</t>
  </si>
  <si>
    <t>unruly / disobedience leicht wertend</t>
  </si>
  <si>
    <t>Protesters Take to Polish Streets After Death of Pregnant Woman Who Was Denied Abortion Care</t>
  </si>
  <si>
    <t>kausal gebaut wegen abortion care</t>
  </si>
  <si>
    <t>Gun-toting LA homeowner who opened fire on intruders says his concealed carry permit was just revoked</t>
  </si>
  <si>
    <t>gun-toting wertend, dramatisiert</t>
  </si>
  <si>
    <t>Advocates Challenge Mysterious Justice Department Statement That Undercuts Forensic Science Reform</t>
  </si>
  <si>
    <t>mysterious, undercuts, advocates = klarer spin</t>
  </si>
  <si>
    <t>Virginia pilot, dog killed in New York plane crash; 2 other dogs found alive</t>
  </si>
  <si>
    <t>Facebook's Mark Zuckerberg reverses course on Holocaust denial</t>
  </si>
  <si>
    <t>We're Not Corrupt, We're Incompetent!: White House Cocaine Cold Case Is Laughable</t>
  </si>
  <si>
    <t>sarkasmus pur, laughable/corrupt/incompetent</t>
  </si>
  <si>
    <t>America Is in the Grips of a Fundamentalist Revival</t>
  </si>
  <si>
    <t>alarm framing grips + fundamentalist</t>
  </si>
  <si>
    <t>The Blue State Race That Could Give Republicans Control of the Senate</t>
  </si>
  <si>
    <t>blue state label, race framing</t>
  </si>
  <si>
    <t>Climate of fear': Nigeria intensifies crackdown on journalists</t>
  </si>
  <si>
    <t>climate of fear / crackdown ziemlich geladen</t>
  </si>
  <si>
    <t>Increasingly, Democrats Begin to Fear the Suck</t>
  </si>
  <si>
    <t>fear the suck, salopp und spöttisch</t>
  </si>
  <si>
    <t>Hollow Earth review – digging deep into the curious history of caves in art</t>
  </si>
  <si>
    <t>Gov. Hochul: Trump Needs To Show 'Remorse' For His Conviction If He Wants A Pardon</t>
  </si>
  <si>
    <t>quote halt, needs remorse bisschen wertung</t>
  </si>
  <si>
    <t>Teachers Unions Are Still Just 'Doing' Socialism</t>
  </si>
  <si>
    <t>socialism als keule, stark</t>
  </si>
  <si>
    <t>America's deadliest soldier? Dillard Johnson says he never made that claim.</t>
  </si>
  <si>
    <t>deadliest mit ? relativiert</t>
  </si>
  <si>
    <t>Leland Vittert's War Notes: It's Really That Simple</t>
  </si>
  <si>
    <t>opinion ton, really that simple abwertend</t>
  </si>
  <si>
    <t>Weekend News Round Up - Newsquawk Asia-Pac Market Open</t>
  </si>
  <si>
    <t>Opinion | Un-American targeting right here in Virginia</t>
  </si>
  <si>
    <t>un-american = hartes label</t>
  </si>
  <si>
    <t>How the Lawyer Who Beat Chevron Lost Everything</t>
  </si>
  <si>
    <t>Pentagon Probe Under Way in Leaks Case</t>
  </si>
  <si>
    <t>Biden's energy plan means lights out for Africa</t>
  </si>
  <si>
    <t>lights out als doom-metapher</t>
  </si>
  <si>
    <t>'Embarrassing': Sen. Kennedy Torches Biden Nominee After She Repeatedly Refused to Answer One Question</t>
  </si>
  <si>
    <t>embarrassing torches refused = volle ladung</t>
  </si>
  <si>
    <t>Biden Reportedly Would Rage Over Reminders Of Trump In White House: 'What A F***ing A**hole'</t>
  </si>
  <si>
    <t>rage + f*** quote, sehr zugespitzt</t>
  </si>
  <si>
    <t>Defending One Brooklyn Brownstone Is Just the Beginning</t>
  </si>
  <si>
    <t>just the beginning leicht ominös</t>
  </si>
  <si>
    <t>Lawsuit says a Black patient bled to death because of a hospital's culture of racism</t>
  </si>
  <si>
    <t>lawsuit says mildert, aber racism label drin</t>
  </si>
  <si>
    <t>Opinion | A Trump Condominium for Greenland</t>
  </si>
  <si>
    <t>sarkastisch trump condo</t>
  </si>
  <si>
    <t>Popular national park vandalized, perhaps by troubled visitor</t>
  </si>
  <si>
    <t>troubled visitor weird label</t>
  </si>
  <si>
    <t>How Public Schools Became Ideological Boot Camps</t>
  </si>
  <si>
    <t>boot camps sehr krasses label, became als fakt</t>
  </si>
  <si>
    <t>Israel's Annexation of Biblical Heartland 'Unlikely' Today</t>
  </si>
  <si>
    <t>biblical heartland politisch aufgeladen</t>
  </si>
  <si>
    <t>Biden's rhetorical gamble on voting rights</t>
  </si>
  <si>
    <t>rhetorical gamble = risko framing</t>
  </si>
  <si>
    <t>At Least Two Dead And Nearly 180,000 Without Power In California 'Brutal System'</t>
  </si>
  <si>
    <t>brutal system als wetter-drama</t>
  </si>
  <si>
    <t>Russia Created a Refugee Crisis, and Now Putin Is Weaponizing It</t>
  </si>
  <si>
    <t>created / weaponizing setzt schuld fix</t>
  </si>
  <si>
    <t>How Covid Revealed the Folly of Our Child Welfare System</t>
  </si>
  <si>
    <t>revealed folly, bewertung als fakt</t>
  </si>
  <si>
    <t>Trump to name Haitian gangs foreign terrorist organizations: report</t>
  </si>
  <si>
    <t>terrorist org label aber report/offiziell</t>
  </si>
  <si>
    <t>House Democrats will debate curtailing 9/11 war powers in new Congress</t>
  </si>
  <si>
    <t>Biden: 'No evidence' remote campaigning is hindering White House bid</t>
  </si>
  <si>
    <t>no evidence als zitat, eher sauber</t>
  </si>
  <si>
    <t>Harvard's New Speech Rules Continue Their Pattern of Repression</t>
  </si>
  <si>
    <t>pattern of repression hart + continue presupp.</t>
  </si>
  <si>
    <t>BiasScore Framework – Scoring Guide</t>
  </si>
  <si>
    <t>DIMENSION</t>
  </si>
  <si>
    <t>D1 · Framing  –  Wird ein Ereignis einseitig gerahmt?</t>
  </si>
  <si>
    <t>0 = Neutral, sachliche Darstellung</t>
  </si>
  <si>
    <t>1 = Leicht einseitig; eine Seite etwas bevorzugt</t>
  </si>
  <si>
    <t>2 = Deutliche Rahmung; klare Perspektive erkennbar</t>
  </si>
  <si>
    <t>3 = Stark einseitig; andere Sichtweisen ausgeblendet</t>
  </si>
  <si>
    <t>Beispiel: 'floods the border' (3) vs. 'arrives at border' (0)</t>
  </si>
  <si>
    <t>D2 · Intensifier  –  Subjektive Verstärker ohne Belegpflicht?</t>
  </si>
  <si>
    <t>0 = Keine wertenden Adverbien / Adjektive</t>
  </si>
  <si>
    <t>1 = Ein leichter Intensifier (z.B. 'growing concern')</t>
  </si>
  <si>
    <t>2 = Mehrere oder starke Intensifier ('massive failure')</t>
  </si>
  <si>
    <t>3 = Häufte, extreme Intensifier ('brutally crushes dissent')</t>
  </si>
  <si>
    <t>Beispiel: 'brutally torches' (3) vs. 'criticizes' (0)</t>
  </si>
  <si>
    <t>D3 · Verb  –  Impliziert das Verb Wahrheit oder Zweifel?</t>
  </si>
  <si>
    <t>0 = Neutral (says, reports, announces)</t>
  </si>
  <si>
    <t>1 = Leicht assertiv oder leicht factive</t>
  </si>
  <si>
    <t>2 = Klar factive ('reveals', 'admits') ohne Quellenangabe</t>
  </si>
  <si>
    <t>3 = Starke Präsupposition; Wahrheit als gegeben gesetzt</t>
  </si>
  <si>
    <t>Beispiel: 'reveals corruption' (3) vs. 'alleges corruption' (0)</t>
  </si>
  <si>
    <t>D4 · Labeling  –  Wertende Bezeichnungen für Personen/Gruppen?</t>
  </si>
  <si>
    <t>0 = Neutrale, deskriptive Bezeichnung</t>
  </si>
  <si>
    <t>1 = Leicht wertende Bezeichnung</t>
  </si>
  <si>
    <t>2 = Klar wertende Bezeichnung ('radical group', 'regime')</t>
  </si>
  <si>
    <t>3 = Stark stigmatisierende / delegitimierende Bezeichnung</t>
  </si>
  <si>
    <t>Beispiel: 'Regime' statt 'Government' (3) vs. 'Government' (0)</t>
  </si>
  <si>
    <t>GESAMTSCORE  (Summe D1–D4)</t>
  </si>
  <si>
    <t>0–3   →  low    (kein oder kaum Bias erkennbar)</t>
  </si>
  <si>
    <t>4–7   →  mid    (moderater sprachlicher Bias)</t>
  </si>
  <si>
    <t>8–12  →  high   (starker sprachlicher Bias)</t>
  </si>
  <si>
    <t>beat/lost everything sehr storymässig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</si>
</sst>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1F5C2E"/>
      <name val="Arial"/>
    </font>
    <font>
      <b/>
      <sz val="9"/>
      <name val="Arial"/>
    </font>
    <font>
      <b/>
      <sz val="13"/>
      <color rgb="FFFFFFFF"/>
      <name val="Arial"/>
    </font>
    <font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F5C2E"/>
      </patternFill>
    </fill>
    <fill>
      <patternFill patternType="solid">
        <fgColor rgb="FF555555"/>
      </patternFill>
    </fill>
    <fill>
      <patternFill patternType="solid">
        <fgColor rgb="FF7B2D8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AD1DC"/>
      </patternFill>
    </fill>
    <fill>
      <patternFill patternType="solid">
        <fgColor rgb="FFF9F9F9"/>
      </patternFill>
    </fill>
    <fill>
      <patternFill patternType="solid">
        <fgColor rgb="FFEBF3FB"/>
      </patternFill>
    </fill>
    <fill>
      <patternFill patternType="solid">
        <fgColor rgb="FFFCE5CD"/>
      </patternFill>
    </fill>
    <fill>
      <patternFill patternType="solid">
        <fgColor rgb="FFF4CCCC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4" fillId="1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2D8B"/>
      <rgbColor rgb="FFFFF2CC"/>
      <rgbColor rgb="FFEBF3FB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EAD3"/>
      <rgbColor rgb="FFFCE5CD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1F5C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pane ySplit="2" topLeftCell="A3" activePane="bottomLeft" state="frozen"/>
      <selection pane="bottomLeft" activeCell="I5" sqref="I5"/>
    </sheetView>
  </sheetViews>
  <sheetFormatPr baseColWidth="10" defaultColWidth="9.140625" defaultRowHeight="15" x14ac:dyDescent="0.25"/>
  <cols>
    <col min="1" max="1" width="5" customWidth="1"/>
    <col min="2" max="2" width="26.5703125" customWidth="1"/>
    <col min="3" max="6" width="16" customWidth="1"/>
    <col min="7" max="8" width="13" customWidth="1"/>
    <col min="9" max="9" width="40" customWidth="1"/>
  </cols>
  <sheetData>
    <row r="1" spans="1:9" ht="19.5" customHeight="1" x14ac:dyDescent="0.25">
      <c r="A1" s="28" t="s">
        <v>0</v>
      </c>
      <c r="B1" s="25"/>
      <c r="C1" s="26" t="s">
        <v>1</v>
      </c>
      <c r="D1" s="27"/>
      <c r="E1" s="27"/>
      <c r="F1" s="25"/>
      <c r="G1" s="24" t="s">
        <v>2</v>
      </c>
      <c r="H1" s="25"/>
      <c r="I1" s="1" t="s">
        <v>3</v>
      </c>
    </row>
    <row r="2" spans="1:9" ht="36" customHeight="1" x14ac:dyDescent="0.25">
      <c r="A2" s="2" t="s">
        <v>4</v>
      </c>
      <c r="B2" s="2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10</v>
      </c>
      <c r="H2" s="5" t="s">
        <v>11</v>
      </c>
      <c r="I2" s="6" t="s">
        <v>12</v>
      </c>
    </row>
    <row r="3" spans="1:9" ht="50.1" customHeight="1" x14ac:dyDescent="0.25">
      <c r="A3" s="7">
        <v>1</v>
      </c>
      <c r="B3" s="8" t="s">
        <v>13</v>
      </c>
      <c r="C3" s="9">
        <v>1</v>
      </c>
      <c r="D3" s="9">
        <v>0</v>
      </c>
      <c r="E3" s="9">
        <v>0</v>
      </c>
      <c r="F3" s="9">
        <v>0</v>
      </c>
      <c r="G3" s="10">
        <f t="shared" ref="G3:G34" si="0">SUM(C3:F3)</f>
        <v>1</v>
      </c>
      <c r="H3" s="11" t="str">
        <f t="shared" ref="H3:H34" si="1">IF(G3&lt;=3,"low",IF(G3&lt;=7,"mid","high"))</f>
        <v>low</v>
      </c>
      <c r="I3" s="12" t="s">
        <v>14</v>
      </c>
    </row>
    <row r="4" spans="1:9" ht="50.1" customHeight="1" x14ac:dyDescent="0.25">
      <c r="A4" s="13">
        <v>2</v>
      </c>
      <c r="B4" s="14" t="s">
        <v>15</v>
      </c>
      <c r="C4" s="9">
        <v>0</v>
      </c>
      <c r="D4" s="9">
        <v>0</v>
      </c>
      <c r="E4" s="9">
        <v>0</v>
      </c>
      <c r="F4" s="9">
        <v>0</v>
      </c>
      <c r="G4" s="10">
        <f t="shared" si="0"/>
        <v>0</v>
      </c>
      <c r="H4" s="11" t="str">
        <f t="shared" si="1"/>
        <v>low</v>
      </c>
      <c r="I4" s="12"/>
    </row>
    <row r="5" spans="1:9" ht="50.1" customHeight="1" x14ac:dyDescent="0.25">
      <c r="A5" s="7">
        <v>3</v>
      </c>
      <c r="B5" s="8" t="s">
        <v>16</v>
      </c>
      <c r="C5" s="9">
        <v>2</v>
      </c>
      <c r="D5" s="9">
        <v>1</v>
      </c>
      <c r="E5" s="9">
        <v>2</v>
      </c>
      <c r="F5" s="9">
        <v>1</v>
      </c>
      <c r="G5" s="10">
        <f t="shared" si="0"/>
        <v>6</v>
      </c>
      <c r="H5" s="11" t="str">
        <f t="shared" si="1"/>
        <v>mid</v>
      </c>
      <c r="I5" s="12" t="s">
        <v>17</v>
      </c>
    </row>
    <row r="6" spans="1:9" ht="50.1" customHeight="1" x14ac:dyDescent="0.25">
      <c r="A6" s="13">
        <v>4</v>
      </c>
      <c r="B6" s="14" t="s">
        <v>18</v>
      </c>
      <c r="C6" s="9">
        <v>2</v>
      </c>
      <c r="D6" s="9">
        <v>1</v>
      </c>
      <c r="E6" s="9">
        <v>1</v>
      </c>
      <c r="F6" s="9">
        <v>0</v>
      </c>
      <c r="G6" s="10">
        <f t="shared" si="0"/>
        <v>4</v>
      </c>
      <c r="H6" s="11" t="str">
        <f t="shared" si="1"/>
        <v>mid</v>
      </c>
      <c r="I6" s="12" t="s">
        <v>19</v>
      </c>
    </row>
    <row r="7" spans="1:9" ht="50.1" customHeight="1" x14ac:dyDescent="0.25">
      <c r="A7" s="7">
        <v>5</v>
      </c>
      <c r="B7" s="8" t="s">
        <v>20</v>
      </c>
      <c r="C7" s="9">
        <v>3</v>
      </c>
      <c r="D7" s="9">
        <v>2</v>
      </c>
      <c r="E7" s="9">
        <v>3</v>
      </c>
      <c r="F7" s="9">
        <v>2</v>
      </c>
      <c r="G7" s="10">
        <f t="shared" si="0"/>
        <v>10</v>
      </c>
      <c r="H7" s="11" t="str">
        <f t="shared" si="1"/>
        <v>high</v>
      </c>
      <c r="I7" s="12" t="s">
        <v>21</v>
      </c>
    </row>
    <row r="8" spans="1:9" ht="50.1" customHeight="1" x14ac:dyDescent="0.25">
      <c r="A8" s="13">
        <v>6</v>
      </c>
      <c r="B8" s="14" t="s">
        <v>22</v>
      </c>
      <c r="C8" s="9">
        <v>1</v>
      </c>
      <c r="D8" s="9">
        <v>1</v>
      </c>
      <c r="E8" s="9">
        <v>0</v>
      </c>
      <c r="F8" s="9">
        <v>0</v>
      </c>
      <c r="G8" s="10">
        <f t="shared" si="0"/>
        <v>2</v>
      </c>
      <c r="H8" s="11" t="str">
        <f t="shared" si="1"/>
        <v>low</v>
      </c>
      <c r="I8" s="12" t="s">
        <v>23</v>
      </c>
    </row>
    <row r="9" spans="1:9" ht="50.1" customHeight="1" x14ac:dyDescent="0.25">
      <c r="A9" s="7">
        <v>7</v>
      </c>
      <c r="B9" s="8" t="s">
        <v>24</v>
      </c>
      <c r="C9" s="9">
        <v>1</v>
      </c>
      <c r="D9" s="9">
        <v>1</v>
      </c>
      <c r="E9" s="9">
        <v>0</v>
      </c>
      <c r="F9" s="9">
        <v>0</v>
      </c>
      <c r="G9" s="10">
        <f t="shared" si="0"/>
        <v>2</v>
      </c>
      <c r="H9" s="11" t="str">
        <f t="shared" si="1"/>
        <v>low</v>
      </c>
      <c r="I9" s="12" t="s">
        <v>25</v>
      </c>
    </row>
    <row r="10" spans="1:9" ht="50.1" customHeight="1" x14ac:dyDescent="0.25">
      <c r="A10" s="13">
        <v>8</v>
      </c>
      <c r="B10" s="14" t="s">
        <v>26</v>
      </c>
      <c r="C10" s="9">
        <v>1</v>
      </c>
      <c r="D10" s="9">
        <v>1</v>
      </c>
      <c r="E10" s="9">
        <v>0</v>
      </c>
      <c r="F10" s="9">
        <v>0</v>
      </c>
      <c r="G10" s="10">
        <f t="shared" si="0"/>
        <v>2</v>
      </c>
      <c r="H10" s="11" t="str">
        <f t="shared" si="1"/>
        <v>low</v>
      </c>
      <c r="I10" s="12" t="s">
        <v>27</v>
      </c>
    </row>
    <row r="11" spans="1:9" ht="50.1" customHeight="1" x14ac:dyDescent="0.25">
      <c r="A11" s="7">
        <v>9</v>
      </c>
      <c r="B11" s="8" t="s">
        <v>28</v>
      </c>
      <c r="C11" s="9">
        <v>1</v>
      </c>
      <c r="D11" s="9">
        <v>0</v>
      </c>
      <c r="E11" s="9">
        <v>1</v>
      </c>
      <c r="F11" s="9">
        <v>1</v>
      </c>
      <c r="G11" s="10">
        <f t="shared" si="0"/>
        <v>3</v>
      </c>
      <c r="H11" s="11" t="str">
        <f t="shared" si="1"/>
        <v>low</v>
      </c>
      <c r="I11" s="12" t="s">
        <v>29</v>
      </c>
    </row>
    <row r="12" spans="1:9" ht="50.1" customHeight="1" x14ac:dyDescent="0.25">
      <c r="A12" s="13">
        <v>10</v>
      </c>
      <c r="B12" s="14" t="s">
        <v>30</v>
      </c>
      <c r="C12" s="9">
        <v>0</v>
      </c>
      <c r="D12" s="9">
        <v>0</v>
      </c>
      <c r="E12" s="9">
        <v>0</v>
      </c>
      <c r="F12" s="9">
        <v>0</v>
      </c>
      <c r="G12" s="10">
        <f t="shared" si="0"/>
        <v>0</v>
      </c>
      <c r="H12" s="11" t="str">
        <f t="shared" si="1"/>
        <v>low</v>
      </c>
      <c r="I12" s="12"/>
    </row>
    <row r="13" spans="1:9" ht="50.1" customHeight="1" x14ac:dyDescent="0.25">
      <c r="A13" s="7">
        <v>11</v>
      </c>
      <c r="B13" s="8" t="s">
        <v>31</v>
      </c>
      <c r="C13" s="9">
        <v>0</v>
      </c>
      <c r="D13" s="9">
        <v>0</v>
      </c>
      <c r="E13" s="9">
        <v>0</v>
      </c>
      <c r="F13" s="9">
        <v>0</v>
      </c>
      <c r="G13" s="10">
        <f t="shared" si="0"/>
        <v>0</v>
      </c>
      <c r="H13" s="11" t="str">
        <f t="shared" si="1"/>
        <v>low</v>
      </c>
      <c r="I13" s="12"/>
    </row>
    <row r="14" spans="1:9" ht="50.1" customHeight="1" x14ac:dyDescent="0.25">
      <c r="A14" s="13">
        <v>12</v>
      </c>
      <c r="B14" s="14" t="s">
        <v>32</v>
      </c>
      <c r="C14" s="9">
        <v>0</v>
      </c>
      <c r="D14" s="9">
        <v>0</v>
      </c>
      <c r="E14" s="9">
        <v>0</v>
      </c>
      <c r="F14" s="9">
        <v>1</v>
      </c>
      <c r="G14" s="10">
        <f t="shared" si="0"/>
        <v>1</v>
      </c>
      <c r="H14" s="11" t="str">
        <f t="shared" si="1"/>
        <v>low</v>
      </c>
      <c r="I14" s="12" t="s">
        <v>33</v>
      </c>
    </row>
    <row r="15" spans="1:9" ht="50.1" customHeight="1" x14ac:dyDescent="0.25">
      <c r="A15" s="7">
        <v>13</v>
      </c>
      <c r="B15" s="8" t="s">
        <v>34</v>
      </c>
      <c r="C15" s="9">
        <v>3</v>
      </c>
      <c r="D15" s="9">
        <v>2</v>
      </c>
      <c r="E15" s="9">
        <v>1</v>
      </c>
      <c r="F15" s="9">
        <v>1</v>
      </c>
      <c r="G15" s="10">
        <f t="shared" si="0"/>
        <v>7</v>
      </c>
      <c r="H15" s="11" t="str">
        <f t="shared" si="1"/>
        <v>mid</v>
      </c>
      <c r="I15" s="12" t="s">
        <v>35</v>
      </c>
    </row>
    <row r="16" spans="1:9" ht="50.1" customHeight="1" x14ac:dyDescent="0.25">
      <c r="A16" s="13">
        <v>14</v>
      </c>
      <c r="B16" s="14" t="s">
        <v>36</v>
      </c>
      <c r="C16" s="9">
        <v>1</v>
      </c>
      <c r="D16" s="9">
        <v>1</v>
      </c>
      <c r="E16" s="9">
        <v>0</v>
      </c>
      <c r="F16" s="9">
        <v>1</v>
      </c>
      <c r="G16" s="10">
        <f t="shared" si="0"/>
        <v>3</v>
      </c>
      <c r="H16" s="11" t="str">
        <f t="shared" si="1"/>
        <v>low</v>
      </c>
      <c r="I16" s="12" t="s">
        <v>37</v>
      </c>
    </row>
    <row r="17" spans="1:9" ht="50.1" customHeight="1" x14ac:dyDescent="0.25">
      <c r="A17" s="7">
        <v>15</v>
      </c>
      <c r="B17" s="8" t="s">
        <v>38</v>
      </c>
      <c r="C17" s="9">
        <v>1</v>
      </c>
      <c r="D17" s="9">
        <v>0</v>
      </c>
      <c r="E17" s="9">
        <v>0</v>
      </c>
      <c r="F17" s="9">
        <v>0</v>
      </c>
      <c r="G17" s="10">
        <f t="shared" si="0"/>
        <v>1</v>
      </c>
      <c r="H17" s="11" t="str">
        <f t="shared" si="1"/>
        <v>low</v>
      </c>
      <c r="I17" s="12" t="s">
        <v>39</v>
      </c>
    </row>
    <row r="18" spans="1:9" ht="50.1" customHeight="1" x14ac:dyDescent="0.25">
      <c r="A18" s="13">
        <v>16</v>
      </c>
      <c r="B18" s="14" t="s">
        <v>40</v>
      </c>
      <c r="C18" s="9">
        <v>1</v>
      </c>
      <c r="D18" s="9">
        <v>1</v>
      </c>
      <c r="E18" s="9">
        <v>0</v>
      </c>
      <c r="F18" s="9">
        <v>1</v>
      </c>
      <c r="G18" s="10">
        <f t="shared" si="0"/>
        <v>3</v>
      </c>
      <c r="H18" s="11" t="str">
        <f t="shared" si="1"/>
        <v>low</v>
      </c>
      <c r="I18" s="12" t="s">
        <v>41</v>
      </c>
    </row>
    <row r="19" spans="1:9" ht="50.1" customHeight="1" x14ac:dyDescent="0.25">
      <c r="A19" s="7">
        <v>17</v>
      </c>
      <c r="B19" s="8" t="s">
        <v>42</v>
      </c>
      <c r="C19" s="9">
        <v>2</v>
      </c>
      <c r="D19" s="9">
        <v>1</v>
      </c>
      <c r="E19" s="9">
        <v>1</v>
      </c>
      <c r="F19" s="9">
        <v>1</v>
      </c>
      <c r="G19" s="10">
        <f t="shared" si="0"/>
        <v>5</v>
      </c>
      <c r="H19" s="11" t="str">
        <f t="shared" si="1"/>
        <v>mid</v>
      </c>
      <c r="I19" s="12" t="s">
        <v>43</v>
      </c>
    </row>
    <row r="20" spans="1:9" ht="50.1" customHeight="1" x14ac:dyDescent="0.25">
      <c r="A20" s="13">
        <v>18</v>
      </c>
      <c r="B20" s="14" t="s">
        <v>44</v>
      </c>
      <c r="C20" s="9">
        <v>0</v>
      </c>
      <c r="D20" s="9">
        <v>0</v>
      </c>
      <c r="E20" s="9">
        <v>0</v>
      </c>
      <c r="F20" s="9">
        <v>0</v>
      </c>
      <c r="G20" s="10">
        <f t="shared" si="0"/>
        <v>0</v>
      </c>
      <c r="H20" s="11" t="str">
        <f t="shared" si="1"/>
        <v>low</v>
      </c>
      <c r="I20" s="12"/>
    </row>
    <row r="21" spans="1:9" ht="50.1" customHeight="1" x14ac:dyDescent="0.25">
      <c r="A21" s="7">
        <v>19</v>
      </c>
      <c r="B21" s="8" t="s">
        <v>45</v>
      </c>
      <c r="C21" s="9">
        <v>0</v>
      </c>
      <c r="D21" s="9">
        <v>0</v>
      </c>
      <c r="E21" s="9">
        <v>0</v>
      </c>
      <c r="F21" s="9">
        <v>0</v>
      </c>
      <c r="G21" s="10">
        <f t="shared" si="0"/>
        <v>0</v>
      </c>
      <c r="H21" s="11" t="str">
        <f t="shared" si="1"/>
        <v>low</v>
      </c>
      <c r="I21" s="12"/>
    </row>
    <row r="22" spans="1:9" ht="50.1" customHeight="1" x14ac:dyDescent="0.25">
      <c r="A22" s="13">
        <v>20</v>
      </c>
      <c r="B22" s="14" t="s">
        <v>46</v>
      </c>
      <c r="C22" s="9">
        <v>3</v>
      </c>
      <c r="D22" s="9">
        <v>3</v>
      </c>
      <c r="E22" s="9">
        <v>2</v>
      </c>
      <c r="F22" s="9">
        <v>2</v>
      </c>
      <c r="G22" s="10">
        <f t="shared" si="0"/>
        <v>10</v>
      </c>
      <c r="H22" s="11" t="str">
        <f t="shared" si="1"/>
        <v>high</v>
      </c>
      <c r="I22" s="12" t="s">
        <v>47</v>
      </c>
    </row>
    <row r="23" spans="1:9" ht="50.1" customHeight="1" x14ac:dyDescent="0.25">
      <c r="A23" s="7">
        <v>21</v>
      </c>
      <c r="B23" s="8" t="s">
        <v>48</v>
      </c>
      <c r="C23" s="9">
        <v>3</v>
      </c>
      <c r="D23" s="9">
        <v>2</v>
      </c>
      <c r="E23" s="9">
        <v>2</v>
      </c>
      <c r="F23" s="9">
        <v>2</v>
      </c>
      <c r="G23" s="10">
        <f t="shared" si="0"/>
        <v>9</v>
      </c>
      <c r="H23" s="11" t="str">
        <f t="shared" si="1"/>
        <v>high</v>
      </c>
      <c r="I23" s="12" t="s">
        <v>49</v>
      </c>
    </row>
    <row r="24" spans="1:9" ht="50.1" customHeight="1" x14ac:dyDescent="0.25">
      <c r="A24" s="13">
        <v>22</v>
      </c>
      <c r="B24" s="14" t="s">
        <v>50</v>
      </c>
      <c r="C24" s="9">
        <v>1</v>
      </c>
      <c r="D24" s="9">
        <v>0</v>
      </c>
      <c r="E24" s="9">
        <v>0</v>
      </c>
      <c r="F24" s="9">
        <v>1</v>
      </c>
      <c r="G24" s="10">
        <f t="shared" si="0"/>
        <v>2</v>
      </c>
      <c r="H24" s="11" t="str">
        <f t="shared" si="1"/>
        <v>low</v>
      </c>
      <c r="I24" s="12" t="s">
        <v>51</v>
      </c>
    </row>
    <row r="25" spans="1:9" ht="50.1" customHeight="1" x14ac:dyDescent="0.25">
      <c r="A25" s="7">
        <v>23</v>
      </c>
      <c r="B25" s="8" t="s">
        <v>52</v>
      </c>
      <c r="C25" s="9">
        <v>2</v>
      </c>
      <c r="D25" s="9">
        <v>2</v>
      </c>
      <c r="E25" s="9">
        <v>1</v>
      </c>
      <c r="F25" s="9">
        <v>2</v>
      </c>
      <c r="G25" s="10">
        <f t="shared" si="0"/>
        <v>7</v>
      </c>
      <c r="H25" s="11" t="str">
        <f t="shared" si="1"/>
        <v>mid</v>
      </c>
      <c r="I25" s="12" t="s">
        <v>53</v>
      </c>
    </row>
    <row r="26" spans="1:9" ht="50.1" customHeight="1" x14ac:dyDescent="0.25">
      <c r="A26" s="13">
        <v>24</v>
      </c>
      <c r="B26" s="14" t="s">
        <v>54</v>
      </c>
      <c r="C26" s="9">
        <v>2</v>
      </c>
      <c r="D26" s="9">
        <v>2</v>
      </c>
      <c r="E26" s="9">
        <v>1</v>
      </c>
      <c r="F26" s="9">
        <v>1</v>
      </c>
      <c r="G26" s="10">
        <f t="shared" si="0"/>
        <v>6</v>
      </c>
      <c r="H26" s="11" t="str">
        <f t="shared" si="1"/>
        <v>mid</v>
      </c>
      <c r="I26" s="12" t="s">
        <v>55</v>
      </c>
    </row>
    <row r="27" spans="1:9" ht="50.1" customHeight="1" x14ac:dyDescent="0.25">
      <c r="A27" s="7">
        <v>25</v>
      </c>
      <c r="B27" s="8" t="s">
        <v>56</v>
      </c>
      <c r="C27" s="9">
        <v>0</v>
      </c>
      <c r="D27" s="9">
        <v>0</v>
      </c>
      <c r="E27" s="9">
        <v>0</v>
      </c>
      <c r="F27" s="9">
        <v>0</v>
      </c>
      <c r="G27" s="10">
        <f t="shared" si="0"/>
        <v>0</v>
      </c>
      <c r="H27" s="11" t="str">
        <f t="shared" si="1"/>
        <v>low</v>
      </c>
      <c r="I27" s="12"/>
    </row>
    <row r="28" spans="1:9" ht="50.1" customHeight="1" x14ac:dyDescent="0.25">
      <c r="A28" s="13">
        <v>26</v>
      </c>
      <c r="B28" s="14" t="s">
        <v>57</v>
      </c>
      <c r="C28" s="9">
        <v>1</v>
      </c>
      <c r="D28" s="9">
        <v>1</v>
      </c>
      <c r="E28" s="9">
        <v>1</v>
      </c>
      <c r="F28" s="9">
        <v>0</v>
      </c>
      <c r="G28" s="10">
        <f t="shared" si="0"/>
        <v>3</v>
      </c>
      <c r="H28" s="11" t="str">
        <f t="shared" si="1"/>
        <v>low</v>
      </c>
      <c r="I28" s="12" t="s">
        <v>58</v>
      </c>
    </row>
    <row r="29" spans="1:9" ht="50.1" customHeight="1" x14ac:dyDescent="0.25">
      <c r="A29" s="7">
        <v>27</v>
      </c>
      <c r="B29" s="8" t="s">
        <v>59</v>
      </c>
      <c r="C29" s="9">
        <v>3</v>
      </c>
      <c r="D29" s="9">
        <v>2</v>
      </c>
      <c r="E29" s="9">
        <v>2</v>
      </c>
      <c r="F29" s="9">
        <v>3</v>
      </c>
      <c r="G29" s="10">
        <f t="shared" si="0"/>
        <v>10</v>
      </c>
      <c r="H29" s="11" t="str">
        <f t="shared" si="1"/>
        <v>high</v>
      </c>
      <c r="I29" s="12" t="s">
        <v>60</v>
      </c>
    </row>
    <row r="30" spans="1:9" ht="50.1" customHeight="1" x14ac:dyDescent="0.25">
      <c r="A30" s="13">
        <v>28</v>
      </c>
      <c r="B30" s="14" t="s">
        <v>61</v>
      </c>
      <c r="C30" s="9">
        <v>1</v>
      </c>
      <c r="D30" s="9">
        <v>1</v>
      </c>
      <c r="E30" s="9">
        <v>0</v>
      </c>
      <c r="F30" s="9">
        <v>1</v>
      </c>
      <c r="G30" s="10">
        <f t="shared" si="0"/>
        <v>3</v>
      </c>
      <c r="H30" s="11" t="str">
        <f t="shared" si="1"/>
        <v>low</v>
      </c>
      <c r="I30" s="12" t="s">
        <v>62</v>
      </c>
    </row>
    <row r="31" spans="1:9" ht="50.1" customHeight="1" x14ac:dyDescent="0.25">
      <c r="A31" s="7">
        <v>29</v>
      </c>
      <c r="B31" s="8" t="s">
        <v>63</v>
      </c>
      <c r="C31" s="9">
        <v>2</v>
      </c>
      <c r="D31" s="9">
        <v>2</v>
      </c>
      <c r="E31" s="9">
        <v>1</v>
      </c>
      <c r="F31" s="9">
        <v>1</v>
      </c>
      <c r="G31" s="10">
        <f t="shared" si="0"/>
        <v>6</v>
      </c>
      <c r="H31" s="11" t="str">
        <f t="shared" si="1"/>
        <v>mid</v>
      </c>
      <c r="I31" s="12" t="s">
        <v>64</v>
      </c>
    </row>
    <row r="32" spans="1:9" ht="50.1" customHeight="1" x14ac:dyDescent="0.25">
      <c r="A32" s="13">
        <v>30</v>
      </c>
      <c r="B32" s="14" t="s">
        <v>65</v>
      </c>
      <c r="C32" s="9">
        <v>0</v>
      </c>
      <c r="D32" s="9">
        <v>0</v>
      </c>
      <c r="E32" s="9">
        <v>0</v>
      </c>
      <c r="F32" s="9">
        <v>0</v>
      </c>
      <c r="G32" s="10">
        <f t="shared" si="0"/>
        <v>0</v>
      </c>
      <c r="H32" s="11" t="str">
        <f t="shared" si="1"/>
        <v>low</v>
      </c>
      <c r="I32" s="12"/>
    </row>
    <row r="33" spans="1:9" ht="50.1" customHeight="1" x14ac:dyDescent="0.25">
      <c r="A33" s="7">
        <v>31</v>
      </c>
      <c r="B33" s="8" t="s">
        <v>66</v>
      </c>
      <c r="C33" s="9">
        <v>3</v>
      </c>
      <c r="D33" s="9">
        <v>3</v>
      </c>
      <c r="E33" s="9">
        <v>1</v>
      </c>
      <c r="F33" s="9">
        <v>2</v>
      </c>
      <c r="G33" s="10">
        <f t="shared" si="0"/>
        <v>9</v>
      </c>
      <c r="H33" s="11" t="str">
        <f t="shared" si="1"/>
        <v>high</v>
      </c>
      <c r="I33" s="12" t="s">
        <v>67</v>
      </c>
    </row>
    <row r="34" spans="1:9" ht="50.1" customHeight="1" x14ac:dyDescent="0.25">
      <c r="A34" s="13">
        <v>32</v>
      </c>
      <c r="B34" s="14" t="s">
        <v>68</v>
      </c>
      <c r="C34" s="9">
        <v>2</v>
      </c>
      <c r="D34" s="9">
        <v>1</v>
      </c>
      <c r="E34" s="9">
        <v>1</v>
      </c>
      <c r="F34" s="9">
        <v>1</v>
      </c>
      <c r="G34" s="10">
        <f t="shared" si="0"/>
        <v>5</v>
      </c>
      <c r="H34" s="11" t="str">
        <f t="shared" si="1"/>
        <v>mid</v>
      </c>
      <c r="I34" s="12" t="s">
        <v>133</v>
      </c>
    </row>
    <row r="35" spans="1:9" ht="50.1" customHeight="1" x14ac:dyDescent="0.25">
      <c r="A35" s="7">
        <v>33</v>
      </c>
      <c r="B35" s="8" t="s">
        <v>69</v>
      </c>
      <c r="C35" s="9">
        <v>0</v>
      </c>
      <c r="D35" s="9">
        <v>0</v>
      </c>
      <c r="E35" s="9">
        <v>0</v>
      </c>
      <c r="F35" s="9">
        <v>0</v>
      </c>
      <c r="G35" s="10">
        <f t="shared" ref="G35:G52" si="2">SUM(C35:F35)</f>
        <v>0</v>
      </c>
      <c r="H35" s="11" t="str">
        <f t="shared" ref="H35:H52" si="3">IF(G35&lt;=3,"low",IF(G35&lt;=7,"mid","high"))</f>
        <v>low</v>
      </c>
      <c r="I35" s="12"/>
    </row>
    <row r="36" spans="1:9" ht="50.1" customHeight="1" x14ac:dyDescent="0.25">
      <c r="A36" s="13">
        <v>34</v>
      </c>
      <c r="B36" s="14" t="s">
        <v>70</v>
      </c>
      <c r="C36" s="9">
        <v>3</v>
      </c>
      <c r="D36" s="9">
        <v>3</v>
      </c>
      <c r="E36" s="9">
        <v>3</v>
      </c>
      <c r="F36" s="9">
        <v>1</v>
      </c>
      <c r="G36" s="10">
        <f t="shared" si="2"/>
        <v>10</v>
      </c>
      <c r="H36" s="11" t="str">
        <f t="shared" si="3"/>
        <v>high</v>
      </c>
      <c r="I36" s="12" t="s">
        <v>71</v>
      </c>
    </row>
    <row r="37" spans="1:9" ht="50.1" customHeight="1" x14ac:dyDescent="0.25">
      <c r="A37" s="7">
        <v>35</v>
      </c>
      <c r="B37" s="8" t="s">
        <v>72</v>
      </c>
      <c r="C37" s="9">
        <v>3</v>
      </c>
      <c r="D37" s="9">
        <v>3</v>
      </c>
      <c r="E37" s="9">
        <v>2</v>
      </c>
      <c r="F37" s="9">
        <v>2</v>
      </c>
      <c r="G37" s="10">
        <f t="shared" si="2"/>
        <v>10</v>
      </c>
      <c r="H37" s="11" t="str">
        <f t="shared" si="3"/>
        <v>high</v>
      </c>
      <c r="I37" s="12" t="s">
        <v>73</v>
      </c>
    </row>
    <row r="38" spans="1:9" ht="50.1" customHeight="1" x14ac:dyDescent="0.25">
      <c r="A38" s="13">
        <v>36</v>
      </c>
      <c r="B38" s="14" t="s">
        <v>74</v>
      </c>
      <c r="C38" s="9">
        <v>3</v>
      </c>
      <c r="D38" s="9">
        <v>3</v>
      </c>
      <c r="E38" s="9">
        <v>1</v>
      </c>
      <c r="F38" s="9">
        <v>2</v>
      </c>
      <c r="G38" s="10">
        <f t="shared" si="2"/>
        <v>9</v>
      </c>
      <c r="H38" s="11" t="str">
        <f t="shared" si="3"/>
        <v>high</v>
      </c>
      <c r="I38" s="12" t="s">
        <v>75</v>
      </c>
    </row>
    <row r="39" spans="1:9" ht="50.1" customHeight="1" x14ac:dyDescent="0.25">
      <c r="A39" s="7">
        <v>37</v>
      </c>
      <c r="B39" s="8" t="s">
        <v>76</v>
      </c>
      <c r="C39" s="9">
        <v>1</v>
      </c>
      <c r="D39" s="9">
        <v>1</v>
      </c>
      <c r="E39" s="9">
        <v>0</v>
      </c>
      <c r="F39" s="9">
        <v>0</v>
      </c>
      <c r="G39" s="10">
        <f t="shared" si="2"/>
        <v>2</v>
      </c>
      <c r="H39" s="11" t="str">
        <f t="shared" si="3"/>
        <v>low</v>
      </c>
      <c r="I39" s="12" t="s">
        <v>77</v>
      </c>
    </row>
    <row r="40" spans="1:9" ht="50.1" customHeight="1" x14ac:dyDescent="0.25">
      <c r="A40" s="13">
        <v>38</v>
      </c>
      <c r="B40" s="14" t="s">
        <v>78</v>
      </c>
      <c r="C40" s="9">
        <v>1</v>
      </c>
      <c r="D40" s="9">
        <v>1</v>
      </c>
      <c r="E40" s="9">
        <v>0</v>
      </c>
      <c r="F40" s="9">
        <v>1</v>
      </c>
      <c r="G40" s="10">
        <f t="shared" si="2"/>
        <v>3</v>
      </c>
      <c r="H40" s="11" t="str">
        <f t="shared" si="3"/>
        <v>low</v>
      </c>
      <c r="I40" s="12" t="s">
        <v>79</v>
      </c>
    </row>
    <row r="41" spans="1:9" ht="50.1" customHeight="1" x14ac:dyDescent="0.25">
      <c r="A41" s="7">
        <v>39</v>
      </c>
      <c r="B41" s="8" t="s">
        <v>80</v>
      </c>
      <c r="C41" s="9">
        <v>2</v>
      </c>
      <c r="D41" s="9">
        <v>1</v>
      </c>
      <c r="E41" s="9">
        <v>0</v>
      </c>
      <c r="F41" s="9">
        <v>1</v>
      </c>
      <c r="G41" s="10">
        <f t="shared" si="2"/>
        <v>4</v>
      </c>
      <c r="H41" s="11" t="str">
        <f t="shared" si="3"/>
        <v>mid</v>
      </c>
      <c r="I41" s="12" t="s">
        <v>81</v>
      </c>
    </row>
    <row r="42" spans="1:9" ht="50.1" customHeight="1" x14ac:dyDescent="0.25">
      <c r="A42" s="13">
        <v>40</v>
      </c>
      <c r="B42" s="14" t="s">
        <v>82</v>
      </c>
      <c r="C42" s="9">
        <v>1</v>
      </c>
      <c r="D42" s="9">
        <v>0</v>
      </c>
      <c r="E42" s="9">
        <v>0</v>
      </c>
      <c r="F42" s="9">
        <v>1</v>
      </c>
      <c r="G42" s="10">
        <f t="shared" si="2"/>
        <v>2</v>
      </c>
      <c r="H42" s="11" t="str">
        <f t="shared" si="3"/>
        <v>low</v>
      </c>
      <c r="I42" s="12" t="s">
        <v>83</v>
      </c>
    </row>
    <row r="43" spans="1:9" ht="50.1" customHeight="1" x14ac:dyDescent="0.25">
      <c r="A43" s="7">
        <v>41</v>
      </c>
      <c r="B43" s="8" t="s">
        <v>84</v>
      </c>
      <c r="C43" s="9">
        <v>3</v>
      </c>
      <c r="D43" s="9">
        <v>2</v>
      </c>
      <c r="E43" s="9">
        <v>3</v>
      </c>
      <c r="F43" s="9">
        <v>3</v>
      </c>
      <c r="G43" s="10">
        <f t="shared" si="2"/>
        <v>11</v>
      </c>
      <c r="H43" s="11" t="str">
        <f t="shared" si="3"/>
        <v>high</v>
      </c>
      <c r="I43" s="12" t="s">
        <v>85</v>
      </c>
    </row>
    <row r="44" spans="1:9" ht="50.1" customHeight="1" x14ac:dyDescent="0.25">
      <c r="A44" s="13">
        <v>42</v>
      </c>
      <c r="B44" s="14" t="s">
        <v>86</v>
      </c>
      <c r="C44" s="9">
        <v>2</v>
      </c>
      <c r="D44" s="9">
        <v>1</v>
      </c>
      <c r="E44" s="9">
        <v>1</v>
      </c>
      <c r="F44" s="9">
        <v>2</v>
      </c>
      <c r="G44" s="10">
        <f t="shared" si="2"/>
        <v>6</v>
      </c>
      <c r="H44" s="11" t="str">
        <f t="shared" si="3"/>
        <v>mid</v>
      </c>
      <c r="I44" s="12" t="s">
        <v>87</v>
      </c>
    </row>
    <row r="45" spans="1:9" ht="50.1" customHeight="1" x14ac:dyDescent="0.25">
      <c r="A45" s="7">
        <v>43</v>
      </c>
      <c r="B45" s="8" t="s">
        <v>88</v>
      </c>
      <c r="C45" s="9">
        <v>2</v>
      </c>
      <c r="D45" s="9">
        <v>1</v>
      </c>
      <c r="E45" s="9">
        <v>1</v>
      </c>
      <c r="F45" s="9">
        <v>1</v>
      </c>
      <c r="G45" s="10">
        <f t="shared" si="2"/>
        <v>5</v>
      </c>
      <c r="H45" s="11" t="str">
        <f t="shared" si="3"/>
        <v>mid</v>
      </c>
      <c r="I45" s="12" t="s">
        <v>89</v>
      </c>
    </row>
    <row r="46" spans="1:9" ht="50.1" customHeight="1" x14ac:dyDescent="0.25">
      <c r="A46" s="13">
        <v>44</v>
      </c>
      <c r="B46" s="14" t="s">
        <v>90</v>
      </c>
      <c r="C46" s="9">
        <v>1</v>
      </c>
      <c r="D46" s="9">
        <v>2</v>
      </c>
      <c r="E46" s="9">
        <v>0</v>
      </c>
      <c r="F46" s="9">
        <v>1</v>
      </c>
      <c r="G46" s="10">
        <f t="shared" si="2"/>
        <v>4</v>
      </c>
      <c r="H46" s="11" t="str">
        <f t="shared" si="3"/>
        <v>mid</v>
      </c>
      <c r="I46" s="12" t="s">
        <v>91</v>
      </c>
    </row>
    <row r="47" spans="1:9" ht="50.1" customHeight="1" x14ac:dyDescent="0.25">
      <c r="A47" s="7">
        <v>45</v>
      </c>
      <c r="B47" s="8" t="s">
        <v>92</v>
      </c>
      <c r="C47" s="9">
        <v>3</v>
      </c>
      <c r="D47" s="9">
        <v>2</v>
      </c>
      <c r="E47" s="9">
        <v>3</v>
      </c>
      <c r="F47" s="9">
        <v>2</v>
      </c>
      <c r="G47" s="10">
        <f t="shared" si="2"/>
        <v>10</v>
      </c>
      <c r="H47" s="11" t="str">
        <f t="shared" si="3"/>
        <v>high</v>
      </c>
      <c r="I47" s="12" t="s">
        <v>93</v>
      </c>
    </row>
    <row r="48" spans="1:9" ht="50.1" customHeight="1" x14ac:dyDescent="0.25">
      <c r="A48" s="13">
        <v>46</v>
      </c>
      <c r="B48" s="14" t="s">
        <v>94</v>
      </c>
      <c r="C48" s="9">
        <v>2</v>
      </c>
      <c r="D48" s="9">
        <v>2</v>
      </c>
      <c r="E48" s="9">
        <v>2</v>
      </c>
      <c r="F48" s="9">
        <v>1</v>
      </c>
      <c r="G48" s="10">
        <f t="shared" si="2"/>
        <v>7</v>
      </c>
      <c r="H48" s="11" t="str">
        <f t="shared" si="3"/>
        <v>mid</v>
      </c>
      <c r="I48" s="12" t="s">
        <v>95</v>
      </c>
    </row>
    <row r="49" spans="1:9" ht="50.1" customHeight="1" x14ac:dyDescent="0.25">
      <c r="A49" s="7">
        <v>47</v>
      </c>
      <c r="B49" s="8" t="s">
        <v>96</v>
      </c>
      <c r="C49" s="9">
        <v>1</v>
      </c>
      <c r="D49" s="9">
        <v>0</v>
      </c>
      <c r="E49" s="9">
        <v>0</v>
      </c>
      <c r="F49" s="9">
        <v>1</v>
      </c>
      <c r="G49" s="10">
        <f t="shared" si="2"/>
        <v>2</v>
      </c>
      <c r="H49" s="11" t="str">
        <f t="shared" si="3"/>
        <v>low</v>
      </c>
      <c r="I49" s="12" t="s">
        <v>97</v>
      </c>
    </row>
    <row r="50" spans="1:9" ht="50.1" customHeight="1" x14ac:dyDescent="0.25">
      <c r="A50" s="13">
        <v>48</v>
      </c>
      <c r="B50" s="14" t="s">
        <v>98</v>
      </c>
      <c r="C50" s="9">
        <v>0</v>
      </c>
      <c r="D50" s="9">
        <v>0</v>
      </c>
      <c r="E50" s="9">
        <v>0</v>
      </c>
      <c r="F50" s="9">
        <v>0</v>
      </c>
      <c r="G50" s="10">
        <f t="shared" si="2"/>
        <v>0</v>
      </c>
      <c r="H50" s="11" t="str">
        <f t="shared" si="3"/>
        <v>low</v>
      </c>
      <c r="I50" s="12"/>
    </row>
    <row r="51" spans="1:9" ht="50.1" customHeight="1" x14ac:dyDescent="0.25">
      <c r="A51" s="7">
        <v>49</v>
      </c>
      <c r="B51" s="8" t="s">
        <v>99</v>
      </c>
      <c r="C51" s="9">
        <v>0</v>
      </c>
      <c r="D51" s="9">
        <v>0</v>
      </c>
      <c r="E51" s="9">
        <v>1</v>
      </c>
      <c r="F51" s="9">
        <v>0</v>
      </c>
      <c r="G51" s="10">
        <f t="shared" si="2"/>
        <v>1</v>
      </c>
      <c r="H51" s="11" t="str">
        <f t="shared" si="3"/>
        <v>low</v>
      </c>
      <c r="I51" s="12" t="s">
        <v>100</v>
      </c>
    </row>
    <row r="52" spans="1:9" ht="50.1" customHeight="1" x14ac:dyDescent="0.25">
      <c r="A52" s="13">
        <v>50</v>
      </c>
      <c r="B52" s="14" t="s">
        <v>101</v>
      </c>
      <c r="C52" s="9">
        <v>3</v>
      </c>
      <c r="D52" s="9">
        <v>2</v>
      </c>
      <c r="E52" s="9">
        <v>2</v>
      </c>
      <c r="F52" s="9">
        <v>3</v>
      </c>
      <c r="G52" s="10">
        <f t="shared" si="2"/>
        <v>10</v>
      </c>
      <c r="H52" s="11" t="str">
        <f t="shared" si="3"/>
        <v>high</v>
      </c>
      <c r="I52" s="12" t="s">
        <v>102</v>
      </c>
    </row>
  </sheetData>
  <autoFilter ref="A2:I2" xr:uid="{00000000-0001-0000-0000-000000000000}"/>
  <mergeCells count="3">
    <mergeCell ref="G1:H1"/>
    <mergeCell ref="C1:F1"/>
    <mergeCell ref="A1:B1"/>
  </mergeCells>
  <pageMargins left="0.7" right="0.7" top="0.75" bottom="0.75" header="0.3" footer="0.3"/>
  <headerFooter>
    <oddFooter>&amp;L_x000D_&amp;1#&amp;"Arial"&amp;7&amp;K000000 C2 - Intern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"/>
  <sheetViews>
    <sheetView workbookViewId="0"/>
  </sheetViews>
  <sheetFormatPr baseColWidth="10" defaultColWidth="9.140625" defaultRowHeight="15" x14ac:dyDescent="0.25"/>
  <cols>
    <col min="1" max="1" width="70" customWidth="1"/>
  </cols>
  <sheetData>
    <row r="1" spans="1:1" ht="18" customHeight="1" x14ac:dyDescent="0.25">
      <c r="A1" s="15" t="s">
        <v>103</v>
      </c>
    </row>
    <row r="2" spans="1:1" ht="7.5" customHeight="1" x14ac:dyDescent="0.25">
      <c r="A2" s="16"/>
    </row>
    <row r="3" spans="1:1" ht="18" customHeight="1" x14ac:dyDescent="0.25">
      <c r="A3" s="17" t="s">
        <v>104</v>
      </c>
    </row>
    <row r="4" spans="1:1" ht="18" customHeight="1" x14ac:dyDescent="0.25">
      <c r="A4" s="17" t="s">
        <v>105</v>
      </c>
    </row>
    <row r="5" spans="1:1" ht="18" customHeight="1" x14ac:dyDescent="0.25">
      <c r="A5" s="18" t="s">
        <v>106</v>
      </c>
    </row>
    <row r="6" spans="1:1" ht="18" customHeight="1" x14ac:dyDescent="0.25">
      <c r="A6" s="18" t="s">
        <v>107</v>
      </c>
    </row>
    <row r="7" spans="1:1" ht="18" customHeight="1" x14ac:dyDescent="0.25">
      <c r="A7" s="18" t="s">
        <v>108</v>
      </c>
    </row>
    <row r="8" spans="1:1" ht="18" customHeight="1" x14ac:dyDescent="0.25">
      <c r="A8" s="18" t="s">
        <v>109</v>
      </c>
    </row>
    <row r="9" spans="1:1" ht="18" customHeight="1" x14ac:dyDescent="0.25">
      <c r="A9" s="19" t="s">
        <v>110</v>
      </c>
    </row>
    <row r="10" spans="1:1" ht="7.5" customHeight="1" x14ac:dyDescent="0.25">
      <c r="A10" s="18"/>
    </row>
    <row r="11" spans="1:1" ht="18" customHeight="1" x14ac:dyDescent="0.25">
      <c r="A11" s="17" t="s">
        <v>111</v>
      </c>
    </row>
    <row r="12" spans="1:1" ht="18" customHeight="1" x14ac:dyDescent="0.25">
      <c r="A12" s="18" t="s">
        <v>112</v>
      </c>
    </row>
    <row r="13" spans="1:1" ht="18" customHeight="1" x14ac:dyDescent="0.25">
      <c r="A13" s="18" t="s">
        <v>113</v>
      </c>
    </row>
    <row r="14" spans="1:1" ht="18" customHeight="1" x14ac:dyDescent="0.25">
      <c r="A14" s="18" t="s">
        <v>114</v>
      </c>
    </row>
    <row r="15" spans="1:1" ht="18" customHeight="1" x14ac:dyDescent="0.25">
      <c r="A15" s="18" t="s">
        <v>115</v>
      </c>
    </row>
    <row r="16" spans="1:1" ht="18" customHeight="1" x14ac:dyDescent="0.25">
      <c r="A16" s="19" t="s">
        <v>116</v>
      </c>
    </row>
    <row r="17" spans="1:1" ht="7.5" customHeight="1" x14ac:dyDescent="0.25">
      <c r="A17" s="18"/>
    </row>
    <row r="18" spans="1:1" ht="18" customHeight="1" x14ac:dyDescent="0.25">
      <c r="A18" s="17" t="s">
        <v>117</v>
      </c>
    </row>
    <row r="19" spans="1:1" ht="18" customHeight="1" x14ac:dyDescent="0.25">
      <c r="A19" s="18" t="s">
        <v>118</v>
      </c>
    </row>
    <row r="20" spans="1:1" ht="18" customHeight="1" x14ac:dyDescent="0.25">
      <c r="A20" s="18" t="s">
        <v>119</v>
      </c>
    </row>
    <row r="21" spans="1:1" ht="18" customHeight="1" x14ac:dyDescent="0.25">
      <c r="A21" s="18" t="s">
        <v>120</v>
      </c>
    </row>
    <row r="22" spans="1:1" ht="18" customHeight="1" x14ac:dyDescent="0.25">
      <c r="A22" s="18" t="s">
        <v>121</v>
      </c>
    </row>
    <row r="23" spans="1:1" ht="18" customHeight="1" x14ac:dyDescent="0.25">
      <c r="A23" s="19" t="s">
        <v>122</v>
      </c>
    </row>
    <row r="24" spans="1:1" ht="7.5" customHeight="1" x14ac:dyDescent="0.25">
      <c r="A24" s="18"/>
    </row>
    <row r="25" spans="1:1" ht="18" customHeight="1" x14ac:dyDescent="0.25">
      <c r="A25" s="17" t="s">
        <v>123</v>
      </c>
    </row>
    <row r="26" spans="1:1" ht="18" customHeight="1" x14ac:dyDescent="0.25">
      <c r="A26" s="18" t="s">
        <v>124</v>
      </c>
    </row>
    <row r="27" spans="1:1" ht="18" customHeight="1" x14ac:dyDescent="0.25">
      <c r="A27" s="18" t="s">
        <v>125</v>
      </c>
    </row>
    <row r="28" spans="1:1" ht="18" customHeight="1" x14ac:dyDescent="0.25">
      <c r="A28" s="18" t="s">
        <v>126</v>
      </c>
    </row>
    <row r="29" spans="1:1" ht="18" customHeight="1" x14ac:dyDescent="0.25">
      <c r="A29" s="18" t="s">
        <v>127</v>
      </c>
    </row>
    <row r="30" spans="1:1" ht="18" customHeight="1" x14ac:dyDescent="0.25">
      <c r="A30" s="19" t="s">
        <v>128</v>
      </c>
    </row>
    <row r="31" spans="1:1" ht="7.5" customHeight="1" x14ac:dyDescent="0.25">
      <c r="A31" s="18"/>
    </row>
    <row r="32" spans="1:1" ht="18" customHeight="1" x14ac:dyDescent="0.25">
      <c r="A32" s="20" t="s">
        <v>129</v>
      </c>
    </row>
    <row r="33" spans="1:1" ht="18" customHeight="1" x14ac:dyDescent="0.25">
      <c r="A33" s="21" t="s">
        <v>130</v>
      </c>
    </row>
    <row r="34" spans="1:1" ht="18" customHeight="1" x14ac:dyDescent="0.25">
      <c r="A34" s="22" t="s">
        <v>131</v>
      </c>
    </row>
    <row r="35" spans="1:1" ht="18" customHeight="1" x14ac:dyDescent="0.25">
      <c r="A35" s="23" t="s">
        <v>132</v>
      </c>
    </row>
  </sheetData>
  <pageMargins left="0.7" right="0.7" top="0.75" bottom="0.75" header="0.3" footer="0.3"/>
  <headerFooter>
    <oddFooter>&amp;L_x000D_&amp;1#&amp;"Arial"&amp;7&amp;K000000 C2 - Intern</oddFooter>
  </headerFooter>
</worksheet>
</file>

<file path=docMetadata/LabelInfo.xml><?xml version="1.0" encoding="utf-8"?>
<clbl:labelList xmlns:clbl="http://schemas.microsoft.com/office/2020/mipLabelMetadata">
  <clbl:label id="{42e461c6-591f-4920-9cf0-f1389542f8ad}" enabled="1" method="Standard" siteId="{2cda5d11-f0ac-46b3-967d-af1b2e1bd01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Ground Truth Annotation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 Pereanez Carlos (IT-MIK-CEN2)</cp:lastModifiedBy>
  <dcterms:created xsi:type="dcterms:W3CDTF">2026-05-19T21:38:39Z</dcterms:created>
  <dcterms:modified xsi:type="dcterms:W3CDTF">2026-05-19T21:41:21Z</dcterms:modified>
</cp:coreProperties>
</file>